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 tabRatio="616" activeTab="2"/>
  </bookViews>
  <sheets>
    <sheet name="Inventory" sheetId="1" r:id="rId1"/>
    <sheet name="Penjualan VLOOKUP" sheetId="2" r:id="rId2"/>
    <sheet name="Summary SUMIF" sheetId="3" r:id="rId3"/>
    <sheet name="Pivot Table" sheetId="5" r:id="rId4"/>
    <sheet name="Penggunaan HLOOKUP" sheetId="6" r:id="rId5"/>
  </sheets>
  <definedNames>
    <definedName name="_xlcn.WorksheetConnection_InventoryA1I91" hidden="1">Inventory!$A$1:$I$9</definedName>
  </definedNames>
  <calcPr calcId="152511"/>
  <pivotCaches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Range-9a89b651-8d11-44db-a022-4e91beb1fc88" name="Range" connection="WorksheetConnection_Inventory!$A$1:$I$9"/>
        </x15:modelTables>
      </x15:dataModel>
    </ext>
  </extLst>
</workbook>
</file>

<file path=xl/calcChain.xml><?xml version="1.0" encoding="utf-8"?>
<calcChain xmlns="http://schemas.openxmlformats.org/spreadsheetml/2006/main">
  <c r="B5" i="3" l="1"/>
  <c r="B11" i="6" l="1"/>
  <c r="C11" i="6"/>
  <c r="B10" i="6"/>
  <c r="C10" i="6" s="1"/>
  <c r="B9" i="3" l="1"/>
  <c r="I2" i="2"/>
  <c r="I3" i="2"/>
  <c r="B8" i="3"/>
  <c r="E7" i="3"/>
  <c r="B7" i="3"/>
  <c r="B6" i="3"/>
  <c r="F12" i="2"/>
  <c r="I11" i="2"/>
  <c r="H11" i="2"/>
  <c r="I10" i="2"/>
  <c r="H10" i="2"/>
  <c r="I9" i="2"/>
  <c r="H9" i="2"/>
  <c r="I8" i="2"/>
  <c r="H8" i="2"/>
  <c r="I7" i="2"/>
  <c r="D7" i="3" s="1"/>
  <c r="H7" i="2"/>
  <c r="C7" i="3" s="1"/>
  <c r="I6" i="2"/>
  <c r="H6" i="2"/>
  <c r="I5" i="2"/>
  <c r="H5" i="2"/>
  <c r="I4" i="2"/>
  <c r="H4" i="2"/>
  <c r="C8" i="3" s="1"/>
  <c r="D6" i="3"/>
  <c r="H3" i="2"/>
  <c r="C6" i="3" s="1"/>
  <c r="H2" i="2"/>
  <c r="H10" i="1"/>
  <c r="G10" i="1"/>
  <c r="F10" i="1"/>
  <c r="I9" i="1"/>
  <c r="I8" i="1"/>
  <c r="I7" i="1"/>
  <c r="E8" i="3" s="1"/>
  <c r="I6" i="1"/>
  <c r="I5" i="1"/>
  <c r="E6" i="3" s="1"/>
  <c r="I4" i="1"/>
  <c r="I3" i="1"/>
  <c r="E5" i="3" s="1"/>
  <c r="I2" i="1"/>
  <c r="D8" i="3" l="1"/>
  <c r="H12" i="2"/>
  <c r="E9" i="3"/>
  <c r="I12" i="2"/>
  <c r="I10" i="1"/>
  <c r="C5" i="3"/>
  <c r="C9" i="3" s="1"/>
  <c r="D5" i="3"/>
  <c r="D9" i="3" s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Inventory!$A$1:$I$9" type="102" refreshedVersion="5" minRefreshableVersion="5">
    <extLst>
      <ext xmlns:x15="http://schemas.microsoft.com/office/spreadsheetml/2010/11/main" uri="{DE250136-89BD-433C-8126-D09CA5730AF9}">
        <x15:connection id="Range-9a89b651-8d11-44db-a022-4e91beb1fc88" autoDelete="1">
          <x15:rangePr sourceName="_xlcn.WorksheetConnection_InventoryA1I9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Kode Barang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<sst xmlns="http://schemas.openxmlformats.org/spreadsheetml/2006/main" count="164" uniqueCount="98">
  <si>
    <t>Kode Barang</t>
  </si>
  <si>
    <t>Nama Barang</t>
  </si>
  <si>
    <t>Kategori</t>
  </si>
  <si>
    <t>Harga Modal (IDR)</t>
  </si>
  <si>
    <t>Harga Jual (IDR)</t>
  </si>
  <si>
    <t>Stok Awal</t>
  </si>
  <si>
    <t>Stok Masuk</t>
  </si>
  <si>
    <t>Stok Terjual</t>
  </si>
  <si>
    <t>Stok Akhir</t>
  </si>
  <si>
    <t>BRG001</t>
  </si>
  <si>
    <t>Kemeja Flanel Casual</t>
  </si>
  <si>
    <t>Pakaian</t>
  </si>
  <si>
    <t>BRG002</t>
  </si>
  <si>
    <t>Celana Chinos Panjang</t>
  </si>
  <si>
    <t>BRG003</t>
  </si>
  <si>
    <t>Jaket Hoodie Fleece</t>
  </si>
  <si>
    <t>BRG004</t>
  </si>
  <si>
    <t>Sepatu Sneakers Kanvas</t>
  </si>
  <si>
    <t>Sepatu</t>
  </si>
  <si>
    <t>BRG005</t>
  </si>
  <si>
    <t>Tas Ransel Laptop</t>
  </si>
  <si>
    <t>Tas</t>
  </si>
  <si>
    <t>BRG006</t>
  </si>
  <si>
    <t>Topi Baseball Polos</t>
  </si>
  <si>
    <t>Aksesoris</t>
  </si>
  <si>
    <t>BRG007</t>
  </si>
  <si>
    <t>Kaos Polos Cotton Combed</t>
  </si>
  <si>
    <t>BRG008</t>
  </si>
  <si>
    <t>Dompet Kulit Sintetis</t>
  </si>
  <si>
    <t>Total</t>
  </si>
  <si>
    <t>ID Transaksi</t>
  </si>
  <si>
    <t>Tanggal</t>
  </si>
  <si>
    <t>Qty Terjual</t>
  </si>
  <si>
    <t>Harga Satuan (IDR)</t>
  </si>
  <si>
    <t>Total Penjualan (IDR)</t>
  </si>
  <si>
    <t>Laba (IDR)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</si>
  <si>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</si>
  <si>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</si>
  <si>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</si>
  <si>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</si>
  <si>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</si>
  <si>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</si>
  <si>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</si>
  <si>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</si>
  <si>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2026-06-10</t>
  </si>
  <si>
    <t>LAPORAN RINGKASAN &amp; ANALISIS PENJUALAN &amp; INVENTORY</t>
  </si>
  <si>
    <t>Kategori Produk</t>
  </si>
  <si>
    <t>Total Qty Terjual</t>
  </si>
  <si>
    <t>Total Laba (IDR)</t>
  </si>
  <si>
    <t>Stok Tersisa (Akhir)</t>
  </si>
  <si>
    <t>Total Keseluruhan</t>
  </si>
  <si>
    <t>Catatan :</t>
  </si>
  <si>
    <t>TRK001</t>
  </si>
  <si>
    <t>TRK002</t>
  </si>
  <si>
    <t>TRK003</t>
  </si>
  <si>
    <t>TRK004</t>
  </si>
  <si>
    <t>TRK005</t>
  </si>
  <si>
    <t>TRK006</t>
  </si>
  <si>
    <t>TRK007</t>
  </si>
  <si>
    <t>TRK008</t>
  </si>
  <si>
    <t>TRK009</t>
  </si>
  <si>
    <t>TRK010</t>
  </si>
  <si>
    <t>(125.000 - 75.000)*5 = Rp 250.000,-</t>
  </si>
  <si>
    <t>Table Gabungan Berdasarkan Kategori Produk</t>
  </si>
  <si>
    <t>Grand Total</t>
  </si>
  <si>
    <t>Sum of Stok Awal</t>
  </si>
  <si>
    <t>Sum of Stok Masuk</t>
  </si>
  <si>
    <t>Sum of Stok Terjual</t>
  </si>
  <si>
    <t>Sum of Stok Akhir</t>
  </si>
  <si>
    <t>All</t>
  </si>
  <si>
    <t>Atribut / Kolom</t>
  </si>
  <si>
    <t>Kolom 1</t>
  </si>
  <si>
    <t>Kolom 2</t>
  </si>
  <si>
    <t>Kolom 3</t>
  </si>
  <si>
    <t>Kolom 4</t>
  </si>
  <si>
    <t>Kemeja Flanel</t>
  </si>
  <si>
    <t>Celana Chinos</t>
  </si>
  <si>
    <t>Jaket Hoodie</t>
  </si>
  <si>
    <t>Sepatu Sneakers</t>
  </si>
  <si>
    <t>Stok</t>
  </si>
  <si>
    <t>SIMULASI PENGGUNAAN HLOOKUP</t>
  </si>
  <si>
    <t>Keterangan Pencarian</t>
  </si>
  <si>
    <t>Rumus HLOOKUP</t>
  </si>
  <si>
    <t>Hasil Output</t>
  </si>
  <si>
    <t>Mencari Harga Modal BRG002</t>
  </si>
  <si>
    <t>Mencari Nama Barang BRG002</t>
  </si>
  <si>
    <t>Contoh data Inventory</t>
  </si>
  <si>
    <t>Contoh Penggunakan Formula VLOOKUP :</t>
  </si>
  <si>
    <t>Ketika divisualisasikan dalam bentuk bilangan angka maka hasilnya adalah seperti di bawah ini</t>
  </si>
  <si>
    <r>
      <t xml:space="preserve">Pada </t>
    </r>
    <r>
      <rPr>
        <b/>
        <i/>
        <sz val="11"/>
        <color theme="1"/>
        <rFont val="Calibri"/>
        <family val="2"/>
        <scheme val="minor"/>
      </rPr>
      <t>kolom Laba (IDR)</t>
    </r>
    <r>
      <rPr>
        <i/>
        <sz val="11"/>
        <color theme="1"/>
        <rFont val="Calibri"/>
        <family val="2"/>
        <scheme val="minor"/>
      </rPr>
      <t xml:space="preserve"> menggunakan formula rumus</t>
    </r>
    <r>
      <rPr>
        <b/>
        <i/>
        <sz val="11"/>
        <color theme="1"/>
        <rFont val="Calibri"/>
        <family val="2"/>
        <scheme val="minor"/>
      </rPr>
      <t xml:space="preserve"> VLOOKUP</t>
    </r>
    <r>
      <rPr>
        <i/>
        <sz val="11"/>
        <color theme="1"/>
        <rFont val="Calibri"/>
        <family val="2"/>
        <scheme val="minor"/>
      </rPr>
      <t xml:space="preserve"> -&gt; Contoh </t>
    </r>
    <r>
      <rPr>
        <b/>
        <i/>
        <sz val="11"/>
        <color theme="1"/>
        <rFont val="Calibri"/>
        <family val="2"/>
        <scheme val="minor"/>
      </rPr>
      <t xml:space="preserve">= (G2-VLOOKUP(C2; Inventory!$A$2:$I$9; 4; FALSE))*F2 </t>
    </r>
  </si>
  <si>
    <r>
      <t xml:space="preserve">Pada kolom </t>
    </r>
    <r>
      <rPr>
        <b/>
        <i/>
        <sz val="11"/>
        <color theme="1"/>
        <rFont val="Calibri"/>
        <family val="2"/>
        <scheme val="minor"/>
      </rPr>
      <t>G2 Harga Satuan</t>
    </r>
    <r>
      <rPr>
        <i/>
        <sz val="11"/>
        <color theme="1"/>
        <rFont val="Calibri"/>
        <family val="2"/>
        <scheme val="minor"/>
      </rPr>
      <t xml:space="preserve"> adalah </t>
    </r>
    <r>
      <rPr>
        <b/>
        <i/>
        <sz val="11"/>
        <color theme="1"/>
        <rFont val="Calibri"/>
        <family val="2"/>
        <scheme val="minor"/>
      </rPr>
      <t>Rp 125.000</t>
    </r>
    <r>
      <rPr>
        <i/>
        <sz val="11"/>
        <color theme="1"/>
        <rFont val="Calibri"/>
        <family val="2"/>
        <scheme val="minor"/>
      </rPr>
      <t xml:space="preserve"> dikurangi hasil formula </t>
    </r>
    <r>
      <rPr>
        <b/>
        <i/>
        <sz val="11"/>
        <color theme="1"/>
        <rFont val="Calibri"/>
        <family val="2"/>
        <scheme val="minor"/>
      </rPr>
      <t>VLOOKUP</t>
    </r>
    <r>
      <rPr>
        <i/>
        <sz val="11"/>
        <color theme="1"/>
        <rFont val="Calibri"/>
        <family val="2"/>
        <scheme val="minor"/>
      </rPr>
      <t xml:space="preserve"> pada kolom </t>
    </r>
    <r>
      <rPr>
        <b/>
        <i/>
        <sz val="11"/>
        <color theme="1"/>
        <rFont val="Calibri"/>
        <family val="2"/>
        <scheme val="minor"/>
      </rPr>
      <t>C2 Kode Barang</t>
    </r>
    <r>
      <rPr>
        <i/>
        <sz val="11"/>
        <color theme="1"/>
        <rFont val="Calibri"/>
        <family val="2"/>
        <scheme val="minor"/>
      </rPr>
      <t xml:space="preserve"> yaitu</t>
    </r>
    <r>
      <rPr>
        <b/>
        <i/>
        <sz val="11"/>
        <color theme="1"/>
        <rFont val="Calibri"/>
        <family val="2"/>
        <scheme val="minor"/>
      </rPr>
      <t xml:space="preserve"> BRG001</t>
    </r>
  </si>
  <si>
    <r>
      <t xml:space="preserve">Berdasarkan </t>
    </r>
    <r>
      <rPr>
        <b/>
        <i/>
        <sz val="11"/>
        <color theme="1"/>
        <rFont val="Calibri"/>
        <family val="2"/>
        <scheme val="minor"/>
      </rPr>
      <t>Kode Barang BRG001</t>
    </r>
    <r>
      <rPr>
        <i/>
        <sz val="11"/>
        <color theme="1"/>
        <rFont val="Calibri"/>
        <family val="2"/>
        <scheme val="minor"/>
      </rPr>
      <t xml:space="preserve"> maka dilakukan pencarian pada</t>
    </r>
    <r>
      <rPr>
        <b/>
        <i/>
        <sz val="11"/>
        <color theme="1"/>
        <rFont val="Calibri"/>
        <family val="2"/>
        <scheme val="minor"/>
      </rPr>
      <t xml:space="preserve"> sheet Inventory</t>
    </r>
    <r>
      <rPr>
        <i/>
        <sz val="11"/>
        <color theme="1"/>
        <rFont val="Calibri"/>
        <family val="2"/>
        <scheme val="minor"/>
      </rPr>
      <t xml:space="preserve"> yang dimulai dari</t>
    </r>
    <r>
      <rPr>
        <b/>
        <i/>
        <sz val="11"/>
        <color theme="1"/>
        <rFont val="Calibri"/>
        <family val="2"/>
        <scheme val="minor"/>
      </rPr>
      <t xml:space="preserve"> Cell A2 sampai I9</t>
    </r>
    <r>
      <rPr>
        <i/>
        <sz val="11"/>
        <color theme="1"/>
        <rFont val="Calibri"/>
        <family val="2"/>
        <scheme val="minor"/>
      </rPr>
      <t xml:space="preserve"> pada </t>
    </r>
    <r>
      <rPr>
        <b/>
        <i/>
        <sz val="11"/>
        <color theme="1"/>
        <rFont val="Calibri"/>
        <family val="2"/>
        <scheme val="minor"/>
      </rPr>
      <t>kolom 4</t>
    </r>
    <r>
      <rPr>
        <i/>
        <sz val="11"/>
        <color theme="1"/>
        <rFont val="Calibri"/>
        <family val="2"/>
        <scheme val="minor"/>
      </rPr>
      <t xml:space="preserve"> yaitu </t>
    </r>
    <r>
      <rPr>
        <b/>
        <i/>
        <sz val="11"/>
        <color theme="1"/>
        <rFont val="Calibri"/>
        <family val="2"/>
        <scheme val="minor"/>
      </rPr>
      <t>kolom Harga Modal</t>
    </r>
    <r>
      <rPr>
        <i/>
        <sz val="11"/>
        <color theme="1"/>
        <rFont val="Calibri"/>
        <family val="2"/>
        <scheme val="minor"/>
      </rPr>
      <t xml:space="preserve"> dengan nilai </t>
    </r>
    <r>
      <rPr>
        <b/>
        <i/>
        <sz val="11"/>
        <color theme="1"/>
        <rFont val="Calibri"/>
        <family val="2"/>
        <scheme val="minor"/>
      </rPr>
      <t>RP 75.000</t>
    </r>
  </si>
  <si>
    <r>
      <t xml:space="preserve">Nilainya harus </t>
    </r>
    <r>
      <rPr>
        <b/>
        <i/>
        <sz val="11"/>
        <color theme="1"/>
        <rFont val="Calibri"/>
        <family val="2"/>
        <scheme val="minor"/>
      </rPr>
      <t>FALSE</t>
    </r>
    <r>
      <rPr>
        <i/>
        <sz val="11"/>
        <color theme="1"/>
        <rFont val="Calibri"/>
        <family val="2"/>
        <scheme val="minor"/>
      </rPr>
      <t xml:space="preserve"> artinya tidak boleh salah nilainya ketika mengambil data</t>
    </r>
  </si>
  <si>
    <r>
      <t xml:space="preserve">Kemudian dikalikan </t>
    </r>
    <r>
      <rPr>
        <b/>
        <i/>
        <sz val="11"/>
        <color theme="1"/>
        <rFont val="Calibri"/>
        <family val="2"/>
        <scheme val="minor"/>
      </rPr>
      <t>F2 pada kolom Qty</t>
    </r>
    <r>
      <rPr>
        <i/>
        <sz val="11"/>
        <color theme="1"/>
        <rFont val="Calibri"/>
        <family val="2"/>
        <scheme val="minor"/>
      </rPr>
      <t xml:space="preserve"> Terjual yaitu sebanyak </t>
    </r>
    <r>
      <rPr>
        <b/>
        <i/>
        <sz val="11"/>
        <color theme="1"/>
        <rFont val="Calibri"/>
        <family val="2"/>
        <scheme val="minor"/>
      </rPr>
      <t>5</t>
    </r>
  </si>
  <si>
    <t>Contoh Penggunaan Formula SUMIF :</t>
  </si>
  <si>
    <r>
      <t xml:space="preserve">Mencari </t>
    </r>
    <r>
      <rPr>
        <b/>
        <i/>
        <sz val="11"/>
        <color theme="1"/>
        <rFont val="Calibri"/>
        <family val="2"/>
        <scheme val="minor"/>
      </rPr>
      <t>Kategori Produk</t>
    </r>
    <r>
      <rPr>
        <i/>
        <sz val="11"/>
        <color theme="1"/>
        <rFont val="Calibri"/>
        <family val="2"/>
        <scheme val="minor"/>
      </rPr>
      <t xml:space="preserve"> yang berada di</t>
    </r>
    <r>
      <rPr>
        <b/>
        <i/>
        <sz val="11"/>
        <color theme="1"/>
        <rFont val="Calibri"/>
        <family val="2"/>
        <scheme val="minor"/>
      </rPr>
      <t xml:space="preserve"> Sheet Penjualan cell E2 sampai E11</t>
    </r>
    <r>
      <rPr>
        <i/>
        <sz val="11"/>
        <color theme="1"/>
        <rFont val="Calibri"/>
        <family val="2"/>
        <scheme val="minor"/>
      </rPr>
      <t xml:space="preserve"> berdasarkan kolom </t>
    </r>
    <r>
      <rPr>
        <b/>
        <i/>
        <sz val="11"/>
        <color theme="1"/>
        <rFont val="Calibri"/>
        <family val="2"/>
        <scheme val="minor"/>
      </rPr>
      <t>A5 yaitu Kategori Produk Pakaian</t>
    </r>
  </si>
  <si>
    <r>
      <t xml:space="preserve">Kemudian menjumlahkan kolom </t>
    </r>
    <r>
      <rPr>
        <b/>
        <i/>
        <sz val="11"/>
        <color theme="1"/>
        <rFont val="Calibri"/>
        <family val="2"/>
        <scheme val="minor"/>
      </rPr>
      <t>Qty Terjual</t>
    </r>
    <r>
      <rPr>
        <i/>
        <sz val="11"/>
        <color theme="1"/>
        <rFont val="Calibri"/>
        <family val="2"/>
        <scheme val="minor"/>
      </rPr>
      <t xml:space="preserve"> pada </t>
    </r>
    <r>
      <rPr>
        <b/>
        <i/>
        <sz val="11"/>
        <color theme="1"/>
        <rFont val="Calibri"/>
        <family val="2"/>
        <scheme val="minor"/>
      </rPr>
      <t>Sheet Penjualan cell F2 sampai F11</t>
    </r>
    <r>
      <rPr>
        <i/>
        <sz val="11"/>
        <color theme="1"/>
        <rFont val="Calibri"/>
        <family val="2"/>
        <scheme val="minor"/>
      </rPr>
      <t xml:space="preserve"> yang masuk </t>
    </r>
    <r>
      <rPr>
        <b/>
        <i/>
        <sz val="11"/>
        <color theme="1"/>
        <rFont val="Calibri"/>
        <family val="2"/>
        <scheme val="minor"/>
      </rPr>
      <t>Kategori Produk Pakaian</t>
    </r>
  </si>
  <si>
    <r>
      <t xml:space="preserve">Contoh penjelasan rumus formula pada </t>
    </r>
    <r>
      <rPr>
        <b/>
        <i/>
        <sz val="11"/>
        <color theme="1"/>
        <rFont val="Calibri"/>
        <family val="2"/>
        <scheme val="minor"/>
      </rPr>
      <t xml:space="preserve">kolom B5 Total Qty Terjual  </t>
    </r>
    <r>
      <rPr>
        <b/>
        <sz val="11"/>
        <color theme="1"/>
        <rFont val="Calibri"/>
        <family val="2"/>
        <scheme val="minor"/>
      </rPr>
      <t>= SUMIF(Penjualan!$E$2:$E$11; A5; Penjualan!$F$2:$F$11)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</si>
</sst>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&quot;Rp &quot;#,##0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2C3E50"/>
      <name val="Arial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color rgb="FF566573"/>
      <name val="Arial"/>
      <family val="2"/>
    </font>
    <font>
      <b/>
      <sz val="11"/>
      <color rgb="FF1F618D"/>
      <name val="Arial"/>
    </font>
    <font>
      <b/>
      <sz val="10"/>
      <color rgb="FFFFFFFF"/>
      <name val="Arial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rgb="FF2C3E50"/>
      </patternFill>
    </fill>
    <fill>
      <patternFill patternType="solid">
        <fgColor theme="7" tint="0.79998168889431442"/>
        <bgColor rgb="FFF8F9F9"/>
      </patternFill>
    </fill>
    <fill>
      <patternFill patternType="solid">
        <fgColor rgb="FF7030A0"/>
        <bgColor rgb="FF2C3E50"/>
      </patternFill>
    </fill>
    <fill>
      <patternFill patternType="solid">
        <fgColor rgb="FF1F618D"/>
        <bgColor rgb="FF1F618D"/>
      </patternFill>
    </fill>
    <fill>
      <patternFill patternType="solid">
        <fgColor rgb="FF2C3E50"/>
        <bgColor rgb="FF2C3E5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42" fontId="2" fillId="2" borderId="1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42" fontId="2" fillId="2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3" fillId="5" borderId="4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center" vertical="center"/>
    </xf>
    <xf numFmtId="0" fontId="3" fillId="5" borderId="3" xfId="0" applyFont="1" applyFill="1" applyBorder="1"/>
    <xf numFmtId="0" fontId="3" fillId="5" borderId="4" xfId="0" applyFont="1" applyFill="1" applyBorder="1"/>
    <xf numFmtId="3" fontId="3" fillId="5" borderId="5" xfId="0" applyNumberFormat="1" applyFont="1" applyFill="1" applyBorder="1" applyAlignment="1">
      <alignment horizontal="right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2" fontId="7" fillId="7" borderId="4" xfId="0" applyNumberFormat="1" applyFont="1" applyFill="1" applyBorder="1" applyAlignment="1">
      <alignment horizontal="right"/>
    </xf>
    <xf numFmtId="42" fontId="7" fillId="7" borderId="6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0" fillId="4" borderId="0" xfId="0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0" fontId="9" fillId="0" borderId="0" xfId="0" applyFont="1"/>
    <xf numFmtId="0" fontId="0" fillId="0" borderId="0" xfId="0" pivotButton="1"/>
    <xf numFmtId="0" fontId="0" fillId="0" borderId="0" xfId="0" applyNumberFormat="1"/>
    <xf numFmtId="0" fontId="1" fillId="9" borderId="7" xfId="0" applyFont="1" applyFill="1" applyBorder="1" applyAlignment="1">
      <alignment horizontal="center" vertical="center"/>
    </xf>
    <xf numFmtId="0" fontId="10" fillId="0" borderId="0" xfId="0" applyFont="1"/>
    <xf numFmtId="0" fontId="11" fillId="10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horizontal="left"/>
    </xf>
    <xf numFmtId="3" fontId="7" fillId="5" borderId="4" xfId="0" applyNumberFormat="1" applyFont="1" applyFill="1" applyBorder="1" applyAlignment="1">
      <alignment horizontal="right"/>
    </xf>
    <xf numFmtId="42" fontId="7" fillId="7" borderId="8" xfId="0" applyNumberFormat="1" applyFont="1" applyFill="1" applyBorder="1" applyAlignment="1">
      <alignment horizontal="right"/>
    </xf>
    <xf numFmtId="3" fontId="7" fillId="5" borderId="6" xfId="0" applyNumberFormat="1" applyFont="1" applyFill="1" applyBorder="1" applyAlignment="1">
      <alignment horizontal="right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5" fillId="4" borderId="0" xfId="0" applyFont="1" applyFill="1" applyBorder="1"/>
    <xf numFmtId="0" fontId="12" fillId="0" borderId="0" xfId="0" applyFont="1" applyBorder="1" applyAlignment="1">
      <alignment horizontal="left" vertical="center"/>
    </xf>
    <xf numFmtId="0" fontId="0" fillId="0" borderId="0" xfId="0" applyFont="1" applyBorder="1"/>
    <xf numFmtId="0" fontId="6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240.057058564817" backgroundQuery="1" createdVersion="5" refreshedVersion="5" minRefreshableVersion="3" recordCount="0" supportSubquery="1" supportAdvancedDrill="1">
  <cacheSource type="external" connectionId="1"/>
  <cacheFields count="7">
    <cacheField name="[Range].[Nama Barang].[Nama Barang]" caption="Nama Barang" numFmtId="0" hierarchy="1" level="1">
      <sharedItems count="8">
        <s v="Dompet Kulit Sintetis"/>
        <s v="Topi Baseball Polos"/>
        <s v="Celana Chinos Panjang"/>
        <s v="Jaket Hoodie Fleece"/>
        <s v="Kaos Polos Cotton Combed"/>
        <s v="Kemeja Flanel Casual"/>
        <s v="Sepatu Sneakers Kanvas"/>
        <s v="Tas Ransel Laptop"/>
      </sharedItems>
    </cacheField>
    <cacheField name="[Range].[Kategori].[Kategori]" caption="Kategori" numFmtId="0" hierarchy="2" level="1">
      <sharedItems count="4">
        <s v="Aksesoris"/>
        <s v="Pakaian"/>
        <s v="Sepatu"/>
        <s v="Tas"/>
      </sharedItems>
    </cacheField>
    <cacheField name="[Measures].[Sum of Stok Awal]" caption="Sum of Stok Awal" numFmtId="0" hierarchy="9" level="32767"/>
    <cacheField name="[Measures].[Sum of Stok Masuk]" caption="Sum of Stok Masuk" numFmtId="0" hierarchy="10" level="32767"/>
    <cacheField name="[Measures].[Sum of Stok Terjual]" caption="Sum of Stok Terjual" numFmtId="0" hierarchy="11" level="32767"/>
    <cacheField name="[Measures].[Sum of Stok Akhir]" caption="Sum of Stok Akhir" numFmtId="0" hierarchy="12" level="32767"/>
    <cacheField name="[Range].[Kode Barang].[Kode Barang]" caption="Kode Barang" numFmtId="0" level="1">
      <sharedItems containsSemiMixedTypes="0" containsNonDate="0" containsString="0"/>
    </cacheField>
  </cacheFields>
  <cacheHierarchies count="15">
    <cacheHierarchy uniqueName="[Range].[Kode Barang]" caption="Kode Barang" attribute="1" defaultMemberUniqueName="[Range].[Kode Barang].[All]" allUniqueName="[Range].[Kode Barang].[All]" dimensionUniqueName="[Range]" displayFolder="" count="2" memberValueDatatype="130" unbalanced="0">
      <fieldsUsage count="2">
        <fieldUsage x="-1"/>
        <fieldUsage x="6"/>
      </fieldsUsage>
    </cacheHierarchy>
    <cacheHierarchy uniqueName="[Range].[Nama Barang]" caption="Nama Barang" attribute="1" defaultMemberUniqueName="[Range].[Nama Barang].[All]" allUniqueName="[Range].[Nama Barang].[All]" dimensionUniqueName="[Range]" displayFolder="" count="2" memberValueDatatype="130" unbalanced="0">
      <fieldsUsage count="2">
        <fieldUsage x="-1"/>
        <fieldUsage x="0"/>
      </fieldsUsage>
    </cacheHierarchy>
    <cacheHierarchy uniqueName="[Range].[Kategori]" caption="Kategori" attribute="1" defaultMemberUniqueName="[Range].[Kategori].[All]" allUniqueName="[Range].[Kategori].[All]" dimensionUniqueName="[Range]" displayFolder="" count="2" memberValueDatatype="130" unbalanced="0">
      <fieldsUsage count="2">
        <fieldUsage x="-1"/>
        <fieldUsage x="1"/>
      </fieldsUsage>
    </cacheHierarchy>
    <cacheHierarchy uniqueName="[Range].[Harga Modal (IDR)]" caption="Harga Modal (IDR)" attribute="1" defaultMemberUniqueName="[Range].[Harga Modal (IDR)].[All]" allUniqueName="[Range].[Harga Modal (IDR)].[All]" dimensionUniqueName="[Range]" displayFolder="" count="0" memberValueDatatype="20" unbalanced="0"/>
    <cacheHierarchy uniqueName="[Range].[Harga Jual (IDR)]" caption="Harga Jual (IDR)" attribute="1" defaultMemberUniqueName="[Range].[Harga Jual (IDR)].[All]" allUniqueName="[Range].[Harga Jual (IDR)].[All]" dimensionUniqueName="[Range]" displayFolder="" count="0" memberValueDatatype="20" unbalanced="0"/>
    <cacheHierarchy uniqueName="[Range].[Stok Awal]" caption="Stok Awal" attribute="1" defaultMemberUniqueName="[Range].[Stok Awal].[All]" allUniqueName="[Range].[Stok Awal].[All]" dimensionUniqueName="[Range]" displayFolder="" count="0" memberValueDatatype="20" unbalanced="0"/>
    <cacheHierarchy uniqueName="[Range].[Stok Masuk]" caption="Stok Masuk" attribute="1" defaultMemberUniqueName="[Range].[Stok Masuk].[All]" allUniqueName="[Range].[Stok Masuk].[All]" dimensionUniqueName="[Range]" displayFolder="" count="0" memberValueDatatype="20" unbalanced="0"/>
    <cacheHierarchy uniqueName="[Range].[Stok Terjual]" caption="Stok Terjual" attribute="1" defaultMemberUniqueName="[Range].[Stok Terjual].[All]" allUniqueName="[Range].[Stok Terjual].[All]" dimensionUniqueName="[Range]" displayFolder="" count="0" memberValueDatatype="20" unbalanced="0"/>
    <cacheHierarchy uniqueName="[Range].[Stok Akhir]" caption="Stok Akhir" attribute="1" defaultMemberUniqueName="[Range].[Stok Akhir].[All]" allUniqueName="[Range].[Stok Akhir].[All]" dimensionUniqueName="[Range]" displayFolder="" count="0" memberValueDatatype="20" unbalanced="0"/>
    <cacheHierarchy uniqueName="[Measures].[Sum of Stok Awal]" caption="Sum of Stok Awal" measure="1" displayFolder="" measureGroup="Rang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tok Masuk]" caption="Sum of Stok Masuk" measure="1" displayFolder="" measureGroup="Rang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ok Terjual]" caption="Sum of Stok Terjual" measure="1" displayFolder="" measureGroup="Range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tok Akhir]" caption="Sum of Stok Akhir" measure="1" displayFolder="" measureGroup="Rang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F12" firstHeaderRow="0" firstDataRow="1" firstDataCol="2" rowPageCount="1" colPageCount="1"/>
  <pivotFields count="7">
    <pivotField axis="axisRow" compact="0" allDrilled="1" outline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Page" compact="0" allDrilled="1" outline="0" showAll="0" dataSourceSort="1" defaultAttributeDrillState="1">
      <items count="1">
        <item t="default"/>
      </items>
    </pivotField>
  </pivotFields>
  <rowFields count="2">
    <field x="1"/>
    <field x="0"/>
  </rowFields>
  <rowItems count="9">
    <i>
      <x/>
      <x/>
    </i>
    <i r="1">
      <x v="1"/>
    </i>
    <i>
      <x v="1"/>
      <x v="2"/>
    </i>
    <i r="1">
      <x v="3"/>
    </i>
    <i r="1">
      <x v="4"/>
    </i>
    <i r="1">
      <x v="5"/>
    </i>
    <i>
      <x v="2"/>
      <x v="6"/>
    </i>
    <i>
      <x v="3"/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0" name="[Range].[Kode Barang].[All]" cap="All"/>
  </pageFields>
  <dataFields count="4">
    <dataField name="Sum of Stok Awal" fld="2" baseField="0" baseItem="0"/>
    <dataField name="Sum of Stok Masuk" fld="3" baseField="0" baseItem="0"/>
    <dataField name="Sum of Stok Terjual" fld="4" baseField="0" baseItem="0"/>
    <dataField name="Sum of Stok Akhir" fld="5" baseField="0" baseItem="0"/>
  </dataFields>
  <pivotHierarchies count="15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ventory!$A$1:$I$9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B18" sqref="B18"/>
    </sheetView>
  </sheetViews>
  <sheetFormatPr defaultRowHeight="15" x14ac:dyDescent="0.25"/>
  <cols>
    <col min="1" max="1" width="15" customWidth="1"/>
    <col min="2" max="2" width="28" customWidth="1"/>
    <col min="3" max="3" width="13" customWidth="1"/>
    <col min="4" max="4" width="21" customWidth="1"/>
    <col min="5" max="5" width="20" customWidth="1"/>
    <col min="6" max="7" width="15" customWidth="1"/>
    <col min="8" max="8" width="16" customWidth="1"/>
    <col min="9" max="9" width="15" customWidth="1"/>
  </cols>
  <sheetData>
    <row r="1" spans="1:9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6">
        <v>75000</v>
      </c>
      <c r="E2" s="6">
        <v>125000</v>
      </c>
      <c r="F2" s="3">
        <v>50</v>
      </c>
      <c r="G2" s="3">
        <v>30</v>
      </c>
      <c r="H2" s="3">
        <v>45</v>
      </c>
      <c r="I2" s="3">
        <f t="shared" ref="I2:I9" si="0">F2+G2-H2</f>
        <v>35</v>
      </c>
    </row>
    <row r="3" spans="1:9" x14ac:dyDescent="0.25">
      <c r="A3" s="4" t="s">
        <v>12</v>
      </c>
      <c r="B3" s="4" t="s">
        <v>13</v>
      </c>
      <c r="C3" s="4" t="s">
        <v>11</v>
      </c>
      <c r="D3" s="6">
        <v>95000</v>
      </c>
      <c r="E3" s="6">
        <v>160000</v>
      </c>
      <c r="F3" s="5">
        <v>40</v>
      </c>
      <c r="G3" s="5">
        <v>20</v>
      </c>
      <c r="H3" s="5">
        <v>35</v>
      </c>
      <c r="I3" s="5">
        <f t="shared" si="0"/>
        <v>25</v>
      </c>
    </row>
    <row r="4" spans="1:9" x14ac:dyDescent="0.25">
      <c r="A4" s="2" t="s">
        <v>14</v>
      </c>
      <c r="B4" s="2" t="s">
        <v>15</v>
      </c>
      <c r="C4" s="2" t="s">
        <v>11</v>
      </c>
      <c r="D4" s="6">
        <v>120000</v>
      </c>
      <c r="E4" s="6">
        <v>200000</v>
      </c>
      <c r="F4" s="3">
        <v>30</v>
      </c>
      <c r="G4" s="3">
        <v>15</v>
      </c>
      <c r="H4" s="3">
        <v>25</v>
      </c>
      <c r="I4" s="3">
        <f t="shared" si="0"/>
        <v>20</v>
      </c>
    </row>
    <row r="5" spans="1:9" x14ac:dyDescent="0.25">
      <c r="A5" s="4" t="s">
        <v>16</v>
      </c>
      <c r="B5" s="4" t="s">
        <v>17</v>
      </c>
      <c r="C5" s="4" t="s">
        <v>18</v>
      </c>
      <c r="D5" s="6">
        <v>150000</v>
      </c>
      <c r="E5" s="6">
        <v>250000</v>
      </c>
      <c r="F5" s="5">
        <v>25</v>
      </c>
      <c r="G5" s="5">
        <v>10</v>
      </c>
      <c r="H5" s="5">
        <v>20</v>
      </c>
      <c r="I5" s="5">
        <f t="shared" si="0"/>
        <v>15</v>
      </c>
    </row>
    <row r="6" spans="1:9" x14ac:dyDescent="0.25">
      <c r="A6" s="2" t="s">
        <v>19</v>
      </c>
      <c r="B6" s="2" t="s">
        <v>20</v>
      </c>
      <c r="C6" s="2" t="s">
        <v>21</v>
      </c>
      <c r="D6" s="6">
        <v>110000</v>
      </c>
      <c r="E6" s="6">
        <v>185000</v>
      </c>
      <c r="F6" s="3">
        <v>20</v>
      </c>
      <c r="G6" s="3">
        <v>10</v>
      </c>
      <c r="H6" s="3">
        <v>15</v>
      </c>
      <c r="I6" s="3">
        <f t="shared" si="0"/>
        <v>15</v>
      </c>
    </row>
    <row r="7" spans="1:9" x14ac:dyDescent="0.25">
      <c r="A7" s="4" t="s">
        <v>22</v>
      </c>
      <c r="B7" s="4" t="s">
        <v>23</v>
      </c>
      <c r="C7" s="4" t="s">
        <v>24</v>
      </c>
      <c r="D7" s="6">
        <v>25000</v>
      </c>
      <c r="E7" s="6">
        <v>50000</v>
      </c>
      <c r="F7" s="5">
        <v>60</v>
      </c>
      <c r="G7" s="5">
        <v>40</v>
      </c>
      <c r="H7" s="5">
        <v>50</v>
      </c>
      <c r="I7" s="5">
        <f t="shared" si="0"/>
        <v>50</v>
      </c>
    </row>
    <row r="8" spans="1:9" x14ac:dyDescent="0.25">
      <c r="A8" s="2" t="s">
        <v>25</v>
      </c>
      <c r="B8" s="2" t="s">
        <v>26</v>
      </c>
      <c r="C8" s="2" t="s">
        <v>11</v>
      </c>
      <c r="D8" s="6">
        <v>35000</v>
      </c>
      <c r="E8" s="6">
        <v>70000</v>
      </c>
      <c r="F8" s="3">
        <v>80</v>
      </c>
      <c r="G8" s="3">
        <v>50</v>
      </c>
      <c r="H8" s="3">
        <v>70</v>
      </c>
      <c r="I8" s="3">
        <f t="shared" si="0"/>
        <v>60</v>
      </c>
    </row>
    <row r="9" spans="1:9" ht="15.75" thickBot="1" x14ac:dyDescent="0.3">
      <c r="A9" s="7" t="s">
        <v>27</v>
      </c>
      <c r="B9" s="7" t="s">
        <v>28</v>
      </c>
      <c r="C9" s="7" t="s">
        <v>24</v>
      </c>
      <c r="D9" s="8">
        <v>45000</v>
      </c>
      <c r="E9" s="8">
        <v>85000</v>
      </c>
      <c r="F9" s="9">
        <v>35</v>
      </c>
      <c r="G9" s="9">
        <v>15</v>
      </c>
      <c r="H9" s="9">
        <v>25</v>
      </c>
      <c r="I9" s="9">
        <f t="shared" si="0"/>
        <v>25</v>
      </c>
    </row>
    <row r="10" spans="1:9" ht="15.75" thickBot="1" x14ac:dyDescent="0.3">
      <c r="A10" s="12" t="s">
        <v>29</v>
      </c>
      <c r="B10" s="13"/>
      <c r="C10" s="13"/>
      <c r="D10" s="13"/>
      <c r="E10" s="13"/>
      <c r="F10" s="10">
        <f>SUM(F2:F9)</f>
        <v>340</v>
      </c>
      <c r="G10" s="10">
        <f>SUM(G2:G9)</f>
        <v>190</v>
      </c>
      <c r="H10" s="10">
        <f>SUM(H2:H9)</f>
        <v>285</v>
      </c>
      <c r="I10" s="14">
        <f>SUM(I2:I9)</f>
        <v>245</v>
      </c>
    </row>
    <row r="12" spans="1:9" ht="15.75" thickBot="1" x14ac:dyDescent="0.3">
      <c r="A12" s="47" t="s">
        <v>51</v>
      </c>
      <c r="B12" s="49"/>
      <c r="C12" s="15"/>
      <c r="D12" s="15"/>
      <c r="E12" s="15"/>
      <c r="F12" s="15"/>
      <c r="G12" s="15"/>
      <c r="H12" s="15"/>
      <c r="I12" s="15"/>
    </row>
    <row r="13" spans="1:9" x14ac:dyDescent="0.25">
      <c r="A13" s="45" t="s">
        <v>86</v>
      </c>
      <c r="B13" s="15"/>
      <c r="C13" s="15"/>
      <c r="D13" s="15"/>
      <c r="E13" s="15"/>
      <c r="F13" s="15"/>
      <c r="G13" s="15"/>
      <c r="H13" s="15"/>
      <c r="I13" s="15"/>
    </row>
    <row r="14" spans="1:9" x14ac:dyDescent="0.25">
      <c r="A14" s="15"/>
      <c r="B14" s="15"/>
      <c r="C14" s="15"/>
      <c r="D14" s="15"/>
      <c r="E14" s="15"/>
      <c r="F14" s="15"/>
      <c r="G14" s="15"/>
      <c r="H14" s="15"/>
      <c r="I14" s="15"/>
    </row>
    <row r="15" spans="1:9" x14ac:dyDescent="0.25">
      <c r="A15" s="15"/>
      <c r="B15" s="15"/>
      <c r="C15" s="15"/>
      <c r="D15" s="15"/>
      <c r="E15" s="15"/>
      <c r="F15" s="15"/>
      <c r="G15" s="15"/>
      <c r="H15" s="15"/>
      <c r="I15" s="15"/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I3" sqref="I3"/>
    </sheetView>
  </sheetViews>
  <sheetFormatPr defaultRowHeight="15" x14ac:dyDescent="0.25"/>
  <cols>
    <col min="1" max="1" width="13.7109375" bestFit="1" customWidth="1"/>
    <col min="2" max="2" width="12.28515625" customWidth="1"/>
    <col min="3" max="3" width="14.42578125" bestFit="1" customWidth="1"/>
    <col min="4" max="4" width="24.42578125" bestFit="1" customWidth="1"/>
    <col min="5" max="5" width="10.28515625" customWidth="1"/>
    <col min="6" max="6" width="12.140625" bestFit="1" customWidth="1"/>
    <col min="7" max="7" width="20.5703125" bestFit="1" customWidth="1"/>
    <col min="8" max="8" width="23.7109375" customWidth="1"/>
    <col min="9" max="9" width="16" customWidth="1"/>
  </cols>
  <sheetData>
    <row r="1" spans="1:9" x14ac:dyDescent="0.25">
      <c r="A1" s="25" t="s">
        <v>30</v>
      </c>
      <c r="B1" s="25" t="s">
        <v>31</v>
      </c>
      <c r="C1" s="25" t="s">
        <v>0</v>
      </c>
      <c r="D1" s="25" t="s">
        <v>1</v>
      </c>
      <c r="E1" s="25" t="s">
        <v>2</v>
      </c>
      <c r="F1" s="25" t="s">
        <v>32</v>
      </c>
      <c r="G1" s="25" t="s">
        <v>33</v>
      </c>
      <c r="H1" s="25" t="s">
        <v>34</v>
      </c>
      <c r="I1" s="11" t="s">
        <v>35</v>
      </c>
    </row>
    <row r="2" spans="1:9" x14ac:dyDescent="0.25">
      <c r="A2" s="21" t="s">
        <v>52</v>
      </c>
      <c r="B2" s="16" t="s">
        <v>36</v>
      </c>
      <c r="C2" s="2" t="s">
        <v>9</v>
      </c>
      <c r="D2" s="2" t="s">
        <v>10</v>
      </c>
      <c r="E2" s="2" t="s">
        <v>11</v>
      </c>
      <c r="F2" s="3">
        <v>5</v>
      </c>
      <c r="G2" s="6">
        <v>125000</v>
      </c>
      <c r="H2" s="6">
        <f t="shared" ref="H2:H11" si="0">F2*G2</f>
        <v>625000</v>
      </c>
      <c r="I2" s="6">
        <f>(G2-VLOOKUP(C2, Inventory!$A$2:$I$9, 4, FALSE))*F2</f>
        <v>250000</v>
      </c>
    </row>
    <row r="3" spans="1:9" x14ac:dyDescent="0.25">
      <c r="A3" s="22" t="s">
        <v>53</v>
      </c>
      <c r="B3" s="17" t="s">
        <v>36</v>
      </c>
      <c r="C3" s="4" t="s">
        <v>16</v>
      </c>
      <c r="D3" s="4" t="s">
        <v>17</v>
      </c>
      <c r="E3" s="4" t="s">
        <v>18</v>
      </c>
      <c r="F3" s="5">
        <v>3</v>
      </c>
      <c r="G3" s="6">
        <v>250000</v>
      </c>
      <c r="H3" s="6">
        <f t="shared" si="0"/>
        <v>750000</v>
      </c>
      <c r="I3" s="6">
        <f>(G3-VLOOKUP(C3, Inventory!$A$2:$I$9, 4, FALSE))*F3</f>
        <v>300000</v>
      </c>
    </row>
    <row r="4" spans="1:9" x14ac:dyDescent="0.25">
      <c r="A4" s="21" t="s">
        <v>54</v>
      </c>
      <c r="B4" s="16" t="s">
        <v>37</v>
      </c>
      <c r="C4" s="2" t="s">
        <v>22</v>
      </c>
      <c r="D4" s="2" t="s">
        <v>23</v>
      </c>
      <c r="E4" s="2" t="s">
        <v>24</v>
      </c>
      <c r="F4" s="3">
        <v>10</v>
      </c>
      <c r="G4" s="6">
        <v>50000</v>
      </c>
      <c r="H4" s="6">
        <f t="shared" si="0"/>
        <v>500000</v>
      </c>
      <c r="I4" s="6">
        <f>(G4-VLOOKUP(C4, Inventory!$A$2:$I$9, 4, FALSE))*F4</f>
        <v>250000</v>
      </c>
    </row>
    <row r="5" spans="1:9" x14ac:dyDescent="0.25">
      <c r="A5" s="22" t="s">
        <v>55</v>
      </c>
      <c r="B5" s="17" t="s">
        <v>38</v>
      </c>
      <c r="C5" s="4" t="s">
        <v>12</v>
      </c>
      <c r="D5" s="4" t="s">
        <v>13</v>
      </c>
      <c r="E5" s="4" t="s">
        <v>11</v>
      </c>
      <c r="F5" s="5">
        <v>4</v>
      </c>
      <c r="G5" s="6">
        <v>160000</v>
      </c>
      <c r="H5" s="6">
        <f t="shared" si="0"/>
        <v>640000</v>
      </c>
      <c r="I5" s="6">
        <f>(G5-VLOOKUP(C5, Inventory!$A$2:$I$9, 4, FALSE))*F5</f>
        <v>260000</v>
      </c>
    </row>
    <row r="6" spans="1:9" x14ac:dyDescent="0.25">
      <c r="A6" s="21" t="s">
        <v>56</v>
      </c>
      <c r="B6" s="16" t="s">
        <v>39</v>
      </c>
      <c r="C6" s="2" t="s">
        <v>25</v>
      </c>
      <c r="D6" s="2" t="s">
        <v>26</v>
      </c>
      <c r="E6" s="2" t="s">
        <v>11</v>
      </c>
      <c r="F6" s="3">
        <v>15</v>
      </c>
      <c r="G6" s="6">
        <v>70000</v>
      </c>
      <c r="H6" s="6">
        <f t="shared" si="0"/>
        <v>1050000</v>
      </c>
      <c r="I6" s="6">
        <f>(G6-VLOOKUP(C6, Inventory!$A$2:$I$9, 4, FALSE))*F6</f>
        <v>525000</v>
      </c>
    </row>
    <row r="7" spans="1:9" x14ac:dyDescent="0.25">
      <c r="A7" s="22" t="s">
        <v>57</v>
      </c>
      <c r="B7" s="17" t="s">
        <v>40</v>
      </c>
      <c r="C7" s="4" t="s">
        <v>19</v>
      </c>
      <c r="D7" s="4" t="s">
        <v>20</v>
      </c>
      <c r="E7" s="4" t="s">
        <v>21</v>
      </c>
      <c r="F7" s="5">
        <v>2</v>
      </c>
      <c r="G7" s="6">
        <v>185000</v>
      </c>
      <c r="H7" s="6">
        <f t="shared" si="0"/>
        <v>370000</v>
      </c>
      <c r="I7" s="6">
        <f>(G7-VLOOKUP(C7, Inventory!$A$2:$I$9, 4, FALSE))*F7</f>
        <v>150000</v>
      </c>
    </row>
    <row r="8" spans="1:9" x14ac:dyDescent="0.25">
      <c r="A8" s="21" t="s">
        <v>58</v>
      </c>
      <c r="B8" s="16" t="s">
        <v>41</v>
      </c>
      <c r="C8" s="2" t="s">
        <v>14</v>
      </c>
      <c r="D8" s="2" t="s">
        <v>15</v>
      </c>
      <c r="E8" s="2" t="s">
        <v>11</v>
      </c>
      <c r="F8" s="3">
        <v>5</v>
      </c>
      <c r="G8" s="6">
        <v>200000</v>
      </c>
      <c r="H8" s="6">
        <f t="shared" si="0"/>
        <v>1000000</v>
      </c>
      <c r="I8" s="6">
        <f>(G8-VLOOKUP(C8, Inventory!$A$2:$I$9, 4, FALSE))*F8</f>
        <v>400000</v>
      </c>
    </row>
    <row r="9" spans="1:9" x14ac:dyDescent="0.25">
      <c r="A9" s="22" t="s">
        <v>59</v>
      </c>
      <c r="B9" s="17" t="s">
        <v>42</v>
      </c>
      <c r="C9" s="4" t="s">
        <v>27</v>
      </c>
      <c r="D9" s="4" t="s">
        <v>28</v>
      </c>
      <c r="E9" s="4" t="s">
        <v>24</v>
      </c>
      <c r="F9" s="5">
        <v>6</v>
      </c>
      <c r="G9" s="6">
        <v>85000</v>
      </c>
      <c r="H9" s="6">
        <f t="shared" si="0"/>
        <v>510000</v>
      </c>
      <c r="I9" s="6">
        <f>(G9-VLOOKUP(C9, Inventory!$A$2:$I$9, 4, FALSE))*F9</f>
        <v>240000</v>
      </c>
    </row>
    <row r="10" spans="1:9" x14ac:dyDescent="0.25">
      <c r="A10" s="21" t="s">
        <v>60</v>
      </c>
      <c r="B10" s="16" t="s">
        <v>43</v>
      </c>
      <c r="C10" s="2" t="s">
        <v>9</v>
      </c>
      <c r="D10" s="2" t="s">
        <v>10</v>
      </c>
      <c r="E10" s="2" t="s">
        <v>11</v>
      </c>
      <c r="F10" s="3">
        <v>8</v>
      </c>
      <c r="G10" s="6">
        <v>125000</v>
      </c>
      <c r="H10" s="6">
        <f t="shared" si="0"/>
        <v>1000000</v>
      </c>
      <c r="I10" s="6">
        <f>(G10-VLOOKUP(C10, Inventory!$A$2:$I$9, 4, FALSE))*F10</f>
        <v>400000</v>
      </c>
    </row>
    <row r="11" spans="1:9" ht="15.75" thickBot="1" x14ac:dyDescent="0.3">
      <c r="A11" s="23" t="s">
        <v>61</v>
      </c>
      <c r="B11" s="18" t="s">
        <v>44</v>
      </c>
      <c r="C11" s="7" t="s">
        <v>16</v>
      </c>
      <c r="D11" s="7" t="s">
        <v>17</v>
      </c>
      <c r="E11" s="7" t="s">
        <v>18</v>
      </c>
      <c r="F11" s="9">
        <v>4</v>
      </c>
      <c r="G11" s="8">
        <v>250000</v>
      </c>
      <c r="H11" s="8">
        <f t="shared" si="0"/>
        <v>1000000</v>
      </c>
      <c r="I11" s="8">
        <f>(G11-VLOOKUP(C11, Inventory!$A$2:$I$9, 4, FALSE))*F11</f>
        <v>400000</v>
      </c>
    </row>
    <row r="12" spans="1:9" ht="15.75" thickBot="1" x14ac:dyDescent="0.3">
      <c r="A12" s="12" t="s">
        <v>29</v>
      </c>
      <c r="B12" s="13"/>
      <c r="C12" s="13"/>
      <c r="D12" s="13"/>
      <c r="E12" s="13"/>
      <c r="F12" s="10">
        <f>SUM(F2:F11)</f>
        <v>62</v>
      </c>
      <c r="G12" s="13"/>
      <c r="H12" s="19">
        <f>SUM(H2:H11)</f>
        <v>7445000</v>
      </c>
      <c r="I12" s="20">
        <f>SUM(I2:I11)</f>
        <v>3175000</v>
      </c>
    </row>
    <row r="14" spans="1:9" ht="15.75" thickBot="1" x14ac:dyDescent="0.3">
      <c r="A14" s="47" t="s">
        <v>87</v>
      </c>
      <c r="B14" s="48"/>
      <c r="C14" s="48"/>
      <c r="D14" s="15"/>
      <c r="E14" s="15"/>
      <c r="F14" s="15"/>
      <c r="G14" s="15"/>
      <c r="H14" s="15"/>
      <c r="I14" s="15"/>
    </row>
    <row r="15" spans="1:9" x14ac:dyDescent="0.25">
      <c r="A15" s="45" t="s">
        <v>89</v>
      </c>
      <c r="B15" s="46"/>
      <c r="C15" s="46"/>
      <c r="D15" s="46"/>
      <c r="E15" s="46"/>
      <c r="F15" s="46"/>
      <c r="G15" s="46"/>
      <c r="H15" s="46"/>
      <c r="I15" s="15"/>
    </row>
    <row r="16" spans="1:9" x14ac:dyDescent="0.25">
      <c r="A16" s="45" t="s">
        <v>90</v>
      </c>
      <c r="B16" s="46"/>
      <c r="C16" s="46"/>
      <c r="D16" s="46"/>
      <c r="E16" s="46"/>
      <c r="F16" s="46"/>
      <c r="G16" s="46"/>
      <c r="H16" s="46"/>
      <c r="I16" s="15"/>
    </row>
    <row r="17" spans="1:9" x14ac:dyDescent="0.25">
      <c r="A17" s="45" t="s">
        <v>91</v>
      </c>
      <c r="B17" s="46"/>
      <c r="C17" s="46"/>
      <c r="D17" s="46"/>
      <c r="E17" s="46"/>
      <c r="F17" s="46"/>
      <c r="G17" s="46"/>
      <c r="H17" s="46"/>
      <c r="I17" s="15"/>
    </row>
    <row r="18" spans="1:9" x14ac:dyDescent="0.25">
      <c r="A18" s="45" t="s">
        <v>92</v>
      </c>
      <c r="B18" s="46"/>
      <c r="C18" s="46"/>
      <c r="D18" s="46"/>
      <c r="E18" s="46"/>
      <c r="F18" s="46"/>
      <c r="G18" s="46"/>
      <c r="H18" s="46"/>
      <c r="I18" s="15"/>
    </row>
    <row r="19" spans="1:9" x14ac:dyDescent="0.25">
      <c r="A19" s="45" t="s">
        <v>93</v>
      </c>
      <c r="B19" s="46"/>
      <c r="C19" s="46"/>
      <c r="D19" s="46"/>
      <c r="E19" s="46"/>
      <c r="F19" s="46"/>
      <c r="G19" s="46"/>
      <c r="H19" s="46"/>
      <c r="I19" s="15"/>
    </row>
    <row r="20" spans="1:9" x14ac:dyDescent="0.25">
      <c r="A20" s="45" t="s">
        <v>88</v>
      </c>
      <c r="B20" s="46"/>
      <c r="C20" s="46"/>
      <c r="D20" s="46"/>
      <c r="E20" s="46"/>
      <c r="F20" s="46"/>
      <c r="G20" s="46"/>
      <c r="H20" s="46"/>
      <c r="I20" s="15"/>
    </row>
    <row r="21" spans="1:9" x14ac:dyDescent="0.25">
      <c r="A21" s="44" t="s">
        <v>62</v>
      </c>
      <c r="B21" s="24"/>
      <c r="C21" s="24"/>
      <c r="D21" s="15"/>
      <c r="E21" s="15"/>
      <c r="F21" s="15"/>
      <c r="G21" s="15"/>
      <c r="H21" s="15"/>
      <c r="I21" s="15"/>
    </row>
    <row r="22" spans="1:9" x14ac:dyDescent="0.25">
      <c r="A22" s="15"/>
      <c r="B22" s="15"/>
      <c r="C22" s="15"/>
      <c r="D22" s="15"/>
      <c r="E22" s="15"/>
      <c r="F22" s="15"/>
      <c r="G22" s="15"/>
      <c r="H22" s="15"/>
      <c r="I22" s="15"/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A5" sqref="A5"/>
    </sheetView>
  </sheetViews>
  <sheetFormatPr defaultRowHeight="15" x14ac:dyDescent="0.25"/>
  <cols>
    <col min="1" max="1" width="18.42578125" customWidth="1"/>
    <col min="2" max="2" width="18.140625" bestFit="1" customWidth="1"/>
    <col min="3" max="3" width="22.85546875" bestFit="1" customWidth="1"/>
    <col min="4" max="4" width="17.5703125" bestFit="1" customWidth="1"/>
    <col min="5" max="5" width="22.85546875" customWidth="1"/>
  </cols>
  <sheetData>
    <row r="1" spans="1:5" ht="18" x14ac:dyDescent="0.25">
      <c r="A1" s="1" t="s">
        <v>45</v>
      </c>
    </row>
    <row r="2" spans="1:5" x14ac:dyDescent="0.25">
      <c r="A2" s="29" t="s">
        <v>63</v>
      </c>
    </row>
    <row r="4" spans="1:5" x14ac:dyDescent="0.25">
      <c r="A4" s="26" t="s">
        <v>46</v>
      </c>
      <c r="B4" s="26" t="s">
        <v>47</v>
      </c>
      <c r="C4" s="26" t="s">
        <v>34</v>
      </c>
      <c r="D4" s="26" t="s">
        <v>48</v>
      </c>
      <c r="E4" s="26" t="s">
        <v>49</v>
      </c>
    </row>
    <row r="5" spans="1:5" x14ac:dyDescent="0.25">
      <c r="A5" s="4" t="s">
        <v>11</v>
      </c>
      <c r="B5" s="5">
        <f>SUMIF('Penjualan VLOOKUP'!$E$2:$E$11, A5, 'Penjualan VLOOKUP'!$F$2:$F$11)</f>
        <v>37</v>
      </c>
      <c r="C5" s="6">
        <f>SUMIF('Penjualan VLOOKUP'!$E$2:$E$11, A5, 'Penjualan VLOOKUP'!$H$2:$H$11)</f>
        <v>4315000</v>
      </c>
      <c r="D5" s="6">
        <f>SUMIF('Penjualan VLOOKUP'!$E$2:$E$11, A5, 'Penjualan VLOOKUP'!$I$2:$I$11)</f>
        <v>1835000</v>
      </c>
      <c r="E5" s="5">
        <f>SUMIF(Inventory!$C$2:$C$9, A5, Inventory!$I$2:$I$9)</f>
        <v>140</v>
      </c>
    </row>
    <row r="6" spans="1:5" x14ac:dyDescent="0.25">
      <c r="A6" s="2" t="s">
        <v>18</v>
      </c>
      <c r="B6" s="3">
        <f>SUMIF('Penjualan VLOOKUP'!$E$2:$E$11, A6, 'Penjualan VLOOKUP'!$F$2:$F$11)</f>
        <v>7</v>
      </c>
      <c r="C6" s="6">
        <f>SUMIF('Penjualan VLOOKUP'!$E$2:$E$11, A6, 'Penjualan VLOOKUP'!$H$2:$H$11)</f>
        <v>1750000</v>
      </c>
      <c r="D6" s="6">
        <f>SUMIF('Penjualan VLOOKUP'!$E$2:$E$11, A6, 'Penjualan VLOOKUP'!$I$2:$I$11)</f>
        <v>700000</v>
      </c>
      <c r="E6" s="3">
        <f>SUMIF(Inventory!$C$2:$C$9, A6, Inventory!$I$2:$I$9)</f>
        <v>15</v>
      </c>
    </row>
    <row r="7" spans="1:5" x14ac:dyDescent="0.25">
      <c r="A7" s="4" t="s">
        <v>21</v>
      </c>
      <c r="B7" s="5">
        <f>SUMIF('Penjualan VLOOKUP'!$E$2:$E$11, A7, 'Penjualan VLOOKUP'!$F$2:$F$11)</f>
        <v>2</v>
      </c>
      <c r="C7" s="6">
        <f>SUMIF('Penjualan VLOOKUP'!$E$2:$E$11, A7, 'Penjualan VLOOKUP'!$H$2:$H$11)</f>
        <v>370000</v>
      </c>
      <c r="D7" s="6">
        <f>SUMIF('Penjualan VLOOKUP'!$E$2:$E$11, A7, 'Penjualan VLOOKUP'!$I$2:$I$11)</f>
        <v>150000</v>
      </c>
      <c r="E7" s="5">
        <f>SUMIF(Inventory!$C$2:$C$9, A7, Inventory!$I$2:$I$9)</f>
        <v>15</v>
      </c>
    </row>
    <row r="8" spans="1:5" ht="15.75" thickBot="1" x14ac:dyDescent="0.3">
      <c r="A8" s="27" t="s">
        <v>24</v>
      </c>
      <c r="B8" s="28">
        <f>SUMIF('Penjualan VLOOKUP'!$E$2:$E$11, A8, 'Penjualan VLOOKUP'!$F$2:$F$11)</f>
        <v>16</v>
      </c>
      <c r="C8" s="8">
        <f>SUMIF('Penjualan VLOOKUP'!$E$2:$E$11, A8, 'Penjualan VLOOKUP'!$H$2:$H$11)</f>
        <v>1010000</v>
      </c>
      <c r="D8" s="8">
        <f>SUMIF('Penjualan VLOOKUP'!$E$2:$E$11, A8, 'Penjualan VLOOKUP'!$I$2:$I$11)</f>
        <v>490000</v>
      </c>
      <c r="E8" s="28">
        <f>SUMIF(Inventory!$C$2:$C$9, A8, Inventory!$I$2:$I$9)</f>
        <v>75</v>
      </c>
    </row>
    <row r="9" spans="1:5" ht="15.75" thickBot="1" x14ac:dyDescent="0.3">
      <c r="A9" s="35" t="s">
        <v>50</v>
      </c>
      <c r="B9" s="36">
        <f>SUM(B5:B8)</f>
        <v>62</v>
      </c>
      <c r="C9" s="37">
        <f>SUM(C5:C8)</f>
        <v>7445000</v>
      </c>
      <c r="D9" s="37">
        <f>SUM(D5:D8)</f>
        <v>3175000</v>
      </c>
      <c r="E9" s="38">
        <f>SUM(E5:E8)</f>
        <v>245</v>
      </c>
    </row>
    <row r="11" spans="1:5" ht="15.75" thickBot="1" x14ac:dyDescent="0.3">
      <c r="A11" s="47" t="s">
        <v>94</v>
      </c>
      <c r="B11" s="49"/>
      <c r="C11" s="15"/>
      <c r="D11" s="15"/>
      <c r="E11" s="15"/>
    </row>
    <row r="12" spans="1:5" x14ac:dyDescent="0.25">
      <c r="A12" s="45" t="s">
        <v>97</v>
      </c>
      <c r="B12" s="46"/>
      <c r="C12" s="46"/>
      <c r="D12" s="46"/>
      <c r="E12" s="46"/>
    </row>
    <row r="13" spans="1:5" x14ac:dyDescent="0.25">
      <c r="A13" s="45" t="s">
        <v>95</v>
      </c>
      <c r="B13" s="46"/>
      <c r="C13" s="46"/>
      <c r="D13" s="46"/>
      <c r="E13" s="46"/>
    </row>
    <row r="14" spans="1:5" x14ac:dyDescent="0.25">
      <c r="A14" s="45" t="s">
        <v>96</v>
      </c>
      <c r="B14" s="46"/>
      <c r="C14" s="46"/>
      <c r="D14" s="46"/>
      <c r="E14" s="46"/>
    </row>
    <row r="15" spans="1:5" x14ac:dyDescent="0.25">
      <c r="A15" s="45"/>
      <c r="B15" s="46"/>
      <c r="C15" s="46"/>
      <c r="D15" s="46"/>
      <c r="E15" s="46"/>
    </row>
    <row r="16" spans="1:5" x14ac:dyDescent="0.25">
      <c r="A16" s="15"/>
      <c r="B16" s="15"/>
      <c r="C16" s="15"/>
      <c r="D16" s="15"/>
      <c r="E16" s="15"/>
    </row>
    <row r="17" spans="1:5" x14ac:dyDescent="0.25">
      <c r="A17" s="15"/>
      <c r="B17" s="15"/>
      <c r="C17" s="15"/>
      <c r="D17" s="15"/>
      <c r="E17" s="15"/>
    </row>
    <row r="18" spans="1:5" x14ac:dyDescent="0.25">
      <c r="A18" s="15"/>
      <c r="B18" s="15"/>
      <c r="C18" s="15"/>
      <c r="D18" s="15"/>
      <c r="E18" s="15"/>
    </row>
    <row r="19" spans="1:5" x14ac:dyDescent="0.25">
      <c r="A19" s="15"/>
      <c r="B19" s="15"/>
      <c r="C19" s="15"/>
      <c r="D19" s="15"/>
      <c r="E19" s="15"/>
    </row>
    <row r="20" spans="1:5" x14ac:dyDescent="0.25">
      <c r="A20" s="15"/>
      <c r="B20" s="15"/>
      <c r="C20" s="15"/>
      <c r="D20" s="15"/>
      <c r="E20" s="15"/>
    </row>
    <row r="21" spans="1:5" x14ac:dyDescent="0.25">
      <c r="A21" s="15"/>
      <c r="B21" s="15"/>
      <c r="C21" s="15"/>
      <c r="D21" s="15"/>
      <c r="E21" s="15"/>
    </row>
    <row r="22" spans="1:5" x14ac:dyDescent="0.25">
      <c r="A22" s="15"/>
      <c r="B22" s="15"/>
      <c r="C22" s="15"/>
      <c r="D22" s="15"/>
      <c r="E22" s="15"/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7" sqref="C17"/>
    </sheetView>
  </sheetViews>
  <sheetFormatPr defaultRowHeight="15" x14ac:dyDescent="0.25"/>
  <cols>
    <col min="1" max="1" width="29" bestFit="1" customWidth="1"/>
    <col min="2" max="2" width="25.140625" customWidth="1"/>
    <col min="3" max="3" width="16.42578125" bestFit="1" customWidth="1"/>
    <col min="4" max="4" width="18" bestFit="1" customWidth="1"/>
    <col min="5" max="5" width="18.28515625" bestFit="1" customWidth="1"/>
    <col min="6" max="6" width="16.7109375" bestFit="1" customWidth="1"/>
  </cols>
  <sheetData>
    <row r="1" spans="1:6" x14ac:dyDescent="0.25">
      <c r="A1" s="30" t="s">
        <v>0</v>
      </c>
      <c r="B1" t="s" vm="1">
        <v>69</v>
      </c>
    </row>
    <row r="3" spans="1:6" x14ac:dyDescent="0.25">
      <c r="A3" s="30" t="s">
        <v>2</v>
      </c>
      <c r="B3" s="30" t="s">
        <v>1</v>
      </c>
      <c r="C3" t="s">
        <v>65</v>
      </c>
      <c r="D3" t="s">
        <v>66</v>
      </c>
      <c r="E3" t="s">
        <v>67</v>
      </c>
      <c r="F3" t="s">
        <v>68</v>
      </c>
    </row>
    <row r="4" spans="1:6" x14ac:dyDescent="0.25">
      <c r="A4" t="s">
        <v>24</v>
      </c>
      <c r="B4" t="s">
        <v>28</v>
      </c>
      <c r="C4" s="31">
        <v>35</v>
      </c>
      <c r="D4" s="31">
        <v>15</v>
      </c>
      <c r="E4" s="31">
        <v>25</v>
      </c>
      <c r="F4" s="31">
        <v>25</v>
      </c>
    </row>
    <row r="5" spans="1:6" x14ac:dyDescent="0.25">
      <c r="B5" t="s">
        <v>23</v>
      </c>
      <c r="C5" s="31">
        <v>60</v>
      </c>
      <c r="D5" s="31">
        <v>40</v>
      </c>
      <c r="E5" s="31">
        <v>50</v>
      </c>
      <c r="F5" s="31">
        <v>50</v>
      </c>
    </row>
    <row r="6" spans="1:6" x14ac:dyDescent="0.25">
      <c r="A6" t="s">
        <v>11</v>
      </c>
      <c r="B6" t="s">
        <v>13</v>
      </c>
      <c r="C6" s="31">
        <v>40</v>
      </c>
      <c r="D6" s="31">
        <v>20</v>
      </c>
      <c r="E6" s="31">
        <v>35</v>
      </c>
      <c r="F6" s="31">
        <v>25</v>
      </c>
    </row>
    <row r="7" spans="1:6" x14ac:dyDescent="0.25">
      <c r="B7" t="s">
        <v>15</v>
      </c>
      <c r="C7" s="31">
        <v>30</v>
      </c>
      <c r="D7" s="31">
        <v>15</v>
      </c>
      <c r="E7" s="31">
        <v>25</v>
      </c>
      <c r="F7" s="31">
        <v>20</v>
      </c>
    </row>
    <row r="8" spans="1:6" x14ac:dyDescent="0.25">
      <c r="B8" t="s">
        <v>26</v>
      </c>
      <c r="C8" s="31">
        <v>80</v>
      </c>
      <c r="D8" s="31">
        <v>50</v>
      </c>
      <c r="E8" s="31">
        <v>70</v>
      </c>
      <c r="F8" s="31">
        <v>60</v>
      </c>
    </row>
    <row r="9" spans="1:6" x14ac:dyDescent="0.25">
      <c r="B9" t="s">
        <v>10</v>
      </c>
      <c r="C9" s="31">
        <v>50</v>
      </c>
      <c r="D9" s="31">
        <v>30</v>
      </c>
      <c r="E9" s="31">
        <v>45</v>
      </c>
      <c r="F9" s="31">
        <v>35</v>
      </c>
    </row>
    <row r="10" spans="1:6" x14ac:dyDescent="0.25">
      <c r="A10" t="s">
        <v>18</v>
      </c>
      <c r="B10" t="s">
        <v>17</v>
      </c>
      <c r="C10" s="31">
        <v>25</v>
      </c>
      <c r="D10" s="31">
        <v>10</v>
      </c>
      <c r="E10" s="31">
        <v>20</v>
      </c>
      <c r="F10" s="31">
        <v>15</v>
      </c>
    </row>
    <row r="11" spans="1:6" x14ac:dyDescent="0.25">
      <c r="A11" t="s">
        <v>21</v>
      </c>
      <c r="B11" t="s">
        <v>20</v>
      </c>
      <c r="C11" s="31">
        <v>20</v>
      </c>
      <c r="D11" s="31">
        <v>10</v>
      </c>
      <c r="E11" s="31">
        <v>15</v>
      </c>
      <c r="F11" s="31">
        <v>15</v>
      </c>
    </row>
    <row r="12" spans="1:6" x14ac:dyDescent="0.25">
      <c r="A12" t="s">
        <v>64</v>
      </c>
      <c r="C12" s="31">
        <v>340</v>
      </c>
      <c r="D12" s="31">
        <v>190</v>
      </c>
      <c r="E12" s="31">
        <v>285</v>
      </c>
      <c r="F12" s="31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1" sqref="B11"/>
    </sheetView>
  </sheetViews>
  <sheetFormatPr defaultRowHeight="15" x14ac:dyDescent="0.25"/>
  <cols>
    <col min="1" max="1" width="39.140625" bestFit="1" customWidth="1"/>
    <col min="2" max="2" width="18.42578125" customWidth="1"/>
    <col min="3" max="3" width="16.28515625" customWidth="1"/>
    <col min="4" max="4" width="13.7109375" customWidth="1"/>
    <col min="5" max="5" width="16.7109375" customWidth="1"/>
  </cols>
  <sheetData>
    <row r="1" spans="1:5" x14ac:dyDescent="0.25">
      <c r="A1" s="32" t="s">
        <v>70</v>
      </c>
      <c r="B1" s="40" t="s">
        <v>71</v>
      </c>
      <c r="C1" s="40" t="s">
        <v>72</v>
      </c>
      <c r="D1" s="40" t="s">
        <v>73</v>
      </c>
      <c r="E1" s="40" t="s">
        <v>74</v>
      </c>
    </row>
    <row r="2" spans="1:5" x14ac:dyDescent="0.25">
      <c r="A2" s="39" t="s">
        <v>0</v>
      </c>
      <c r="B2" s="41" t="s">
        <v>9</v>
      </c>
      <c r="C2" s="41" t="s">
        <v>12</v>
      </c>
      <c r="D2" s="41" t="s">
        <v>14</v>
      </c>
      <c r="E2" s="41" t="s">
        <v>16</v>
      </c>
    </row>
    <row r="3" spans="1:5" x14ac:dyDescent="0.25">
      <c r="A3" s="39" t="s">
        <v>1</v>
      </c>
      <c r="B3" s="41" t="s">
        <v>75</v>
      </c>
      <c r="C3" s="41" t="s">
        <v>76</v>
      </c>
      <c r="D3" s="41" t="s">
        <v>77</v>
      </c>
      <c r="E3" s="41" t="s">
        <v>78</v>
      </c>
    </row>
    <row r="4" spans="1:5" x14ac:dyDescent="0.25">
      <c r="A4" s="39" t="s">
        <v>3</v>
      </c>
      <c r="B4" s="6">
        <v>75000</v>
      </c>
      <c r="C4" s="6">
        <v>95000</v>
      </c>
      <c r="D4" s="6">
        <v>120000</v>
      </c>
      <c r="E4" s="6">
        <v>150000</v>
      </c>
    </row>
    <row r="5" spans="1:5" x14ac:dyDescent="0.25">
      <c r="A5" s="39" t="s">
        <v>79</v>
      </c>
      <c r="B5" s="43">
        <v>50</v>
      </c>
      <c r="C5" s="43">
        <v>40</v>
      </c>
      <c r="D5" s="43">
        <v>30</v>
      </c>
      <c r="E5" s="43">
        <v>25</v>
      </c>
    </row>
    <row r="7" spans="1:5" x14ac:dyDescent="0.25">
      <c r="A7" s="33" t="s">
        <v>80</v>
      </c>
    </row>
    <row r="9" spans="1:5" x14ac:dyDescent="0.25">
      <c r="A9" s="34" t="s">
        <v>81</v>
      </c>
      <c r="B9" s="34" t="s">
        <v>82</v>
      </c>
      <c r="C9" s="34" t="s">
        <v>83</v>
      </c>
    </row>
    <row r="10" spans="1:5" x14ac:dyDescent="0.25">
      <c r="A10" s="4" t="s">
        <v>84</v>
      </c>
      <c r="B10" s="6">
        <f>HLOOKUP("BRG002", $A$2:$E$5, 3, FALSE)</f>
        <v>95000</v>
      </c>
      <c r="C10" s="6">
        <f>B10</f>
        <v>95000</v>
      </c>
    </row>
    <row r="11" spans="1:5" x14ac:dyDescent="0.25">
      <c r="A11" s="22" t="s">
        <v>85</v>
      </c>
      <c r="B11" s="41" t="str">
        <f>HLOOKUP("BRG002", $A$2:$E$5, 2, FALSE)</f>
        <v>Celana Chinos</v>
      </c>
      <c r="C11" s="42" t="str">
        <f>B11</f>
        <v>Celana Chinos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Penjualan VLOOKUP</vt:lpstr>
      <vt:lpstr>Summary SUMIF</vt:lpstr>
      <vt:lpstr>Pivot Table</vt:lpstr>
      <vt:lpstr>Penggunaan HLOOKUP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2026-08-05T15:33:25Z</dcterms:created>
  <dcterms:modified xsi:type="dcterms:W3CDTF">2026-08-08T19:21:34Z</dcterms:modified>
</cp:coreProperties>
</file>